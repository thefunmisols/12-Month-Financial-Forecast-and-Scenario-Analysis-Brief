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Case Forecast" sheetId="1" r:id="rId4"/>
    <sheet state="visible" name="Assumptions" sheetId="2" r:id="rId5"/>
  </sheets>
  <definedNames/>
  <calcPr/>
  <extLst>
    <ext uri="GoogleSheetsCustomDataVersion2">
      <go:sheetsCustomData xmlns:go="http://customooxmlschemas.google.com/" r:id="rId6" roundtripDataChecksum="VzPLZjSnzhiWE6g38iNifb2U4ay+dCDYLdeYW/akq8A="/>
    </ext>
  </extLst>
</workbook>
</file>

<file path=xl/sharedStrings.xml><?xml version="1.0" encoding="utf-8"?>
<sst xmlns="http://schemas.openxmlformats.org/spreadsheetml/2006/main" count="60" uniqueCount="40">
  <si>
    <t>Base Case Forecast Assumptions</t>
  </si>
  <si>
    <t>Base Case Forecast</t>
  </si>
  <si>
    <t>Starting Revenue (Month 1)</t>
  </si>
  <si>
    <t>Month</t>
  </si>
  <si>
    <t>Revenue</t>
  </si>
  <si>
    <t>Given</t>
  </si>
  <si>
    <t>Cost of Services</t>
  </si>
  <si>
    <t>Monthly Revenue Growth</t>
  </si>
  <si>
    <t>Marketing</t>
  </si>
  <si>
    <t>Operating Expenses</t>
  </si>
  <si>
    <t>Forecast Period (Months)</t>
  </si>
  <si>
    <t>Net Operating Profit</t>
  </si>
  <si>
    <t>Revenue Check</t>
  </si>
  <si>
    <t>Month 1</t>
  </si>
  <si>
    <t>Cost of Services (% of Revenue)</t>
  </si>
  <si>
    <t>Not provided in the attached instructions</t>
  </si>
  <si>
    <t>Marketing Expense (% of Revenue)</t>
  </si>
  <si>
    <t>Base-case assumption: 30% of monthly revenue</t>
  </si>
  <si>
    <t>Marketing Expense (Fixed Monthly Amount)</t>
  </si>
  <si>
    <t>Base-case assumption: 10% of monthly revenue</t>
  </si>
  <si>
    <t>Operating Expenses (Months 1–6)</t>
  </si>
  <si>
    <t>Not used because marketing is modeled as % of revenue</t>
  </si>
  <si>
    <t>Operating Expenses (Months 7–12)</t>
  </si>
  <si>
    <t>Base-case assumption: $100,000/month</t>
  </si>
  <si>
    <t>Base-case assumption: $120,000/month from Month 7</t>
  </si>
  <si>
    <t>Month 1 Revenue</t>
  </si>
  <si>
    <t>Month 2</t>
  </si>
  <si>
    <t>Monthly Growth</t>
  </si>
  <si>
    <t>Month 3</t>
  </si>
  <si>
    <t>Month 12 Revenue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</si>
  <si>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</si>
  <si>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</si>
  <si>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</si>
  <si>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</si>
  <si>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</si>
  <si>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</si>
  <si>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</si>
  <si>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</si>
  <si>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</si>
  <si>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Base-case expense assumptions used to complete the model: Cost of Services = 30% of revenue; Marketing = 10% of revenue; Operating Expenses = $100,000/month for Months 1–6 and $120,000/month for Months 7–12.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</si>
</sst>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$#,##0"/>
    <numFmt numFmtId="165" formatCode="0.0%"/>
  </numFmts>
  <fonts count="5">
    <font>
      <sz val="11.0"/>
      <color theme="1"/>
      <name val="Calibri"/>
      <scheme val="minor"/>
    </font>
    <font>
      <b/>
      <sz val="14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FFF2CC"/>
        <bgColor rgb="FFFFF2CC"/>
      </patternFill>
    </fill>
  </fills>
  <borders count="3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2" numFmtId="0" xfId="0" applyAlignment="1" applyBorder="1" applyFill="1" applyFont="1">
      <alignment horizontal="center"/>
    </xf>
    <xf borderId="2" fillId="3" fontId="2" numFmtId="0" xfId="0" applyBorder="1" applyFill="1" applyFont="1"/>
    <xf borderId="0" fillId="0" fontId="3" numFmtId="0" xfId="0" applyFont="1"/>
    <xf borderId="2" fillId="3" fontId="4" numFmtId="164" xfId="0" applyBorder="1" applyFill="1" applyFont="1" applyNumberFormat="1"/>
    <xf borderId="2" fillId="3" fontId="4" numFmtId="165" xfId="0" applyBorder="1" applyFill="1" applyFont="1" applyNumberFormat="1"/>
    <xf borderId="1" fillId="0" fontId="4" numFmtId="0" xfId="0" applyBorder="1" applyFont="1"/>
    <xf borderId="2" fillId="3" fontId="4" numFmtId="1" xfId="0" applyBorder="1" applyFill="1" applyFont="1" applyNumberFormat="1"/>
    <xf borderId="0" fillId="0" fontId="4" numFmtId="164" xfId="0" applyFont="1" applyNumberFormat="1"/>
    <xf borderId="1" fillId="0" fontId="4" numFmtId="164" xfId="0" applyBorder="1" applyFont="1" applyNumberFormat="1"/>
    <xf borderId="0" fillId="0" fontId="4" numFmtId="165" xfId="0" applyFont="1" applyNumberFormat="1"/>
    <xf borderId="0" fillId="0" fontId="4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0"/>
    <col customWidth="1" min="2" max="2" width="16.0"/>
    <col customWidth="1" min="3" max="3" width="20.0"/>
    <col customWidth="1" min="4" max="4" width="16.0"/>
    <col customWidth="1" min="5" max="5" width="22.0"/>
    <col customWidth="1" min="6" max="6" width="23.0"/>
    <col customWidth="1" min="7" max="7" width="8.71"/>
    <col customWidth="1" min="8" max="8" width="39.57"/>
    <col customWidth="1" min="9" max="9" width="17.71"/>
    <col customWidth="1" min="10" max="26" width="8.71"/>
  </cols>
  <sheetData>
    <row r="1" ht="14.25" customHeight="1">
      <c r="A1" s="1" t="s">
        <v>1</v>
      </c>
    </row>
    <row r="2" ht="14.25" customHeight="1"/>
    <row r="3" ht="14.25" customHeight="1">
      <c r="A3" s="3" t="s">
        <v>3</v>
      </c>
      <c r="B3" s="3" t="s">
        <v>4</v>
      </c>
      <c r="C3" s="3" t="s">
        <v>6</v>
      </c>
      <c r="D3" s="3" t="s">
        <v>8</v>
      </c>
      <c r="E3" s="3" t="s">
        <v>9</v>
      </c>
      <c r="F3" s="3" t="s">
        <v>11</v>
      </c>
      <c r="H3" s="2" t="s">
        <v>12</v>
      </c>
    </row>
    <row r="4" ht="14.25" customHeight="1">
      <c r="A4" s="8" t="s">
        <v>13</v>
      </c>
      <c r="B4" s="11">
        <f>Assumptions!$B$3</f>
        <v>500000</v>
      </c>
      <c r="C4" s="11">
        <f>B4*Assumptions!$B$7</f>
        <v>150000</v>
      </c>
      <c r="D4" s="11">
        <f>B4*Assumptions!$B$8</f>
        <v>50000</v>
      </c>
      <c r="E4" s="11">
        <f>Assumptions!$B$10</f>
        <v>100000</v>
      </c>
      <c r="F4" s="11">
        <f t="shared" ref="F4:F15" si="1">B4-C4-D4-E4</f>
        <v>200000</v>
      </c>
      <c r="H4" s="5" t="s">
        <v>25</v>
      </c>
      <c r="I4" s="10">
        <v>500000.0</v>
      </c>
    </row>
    <row r="5" ht="14.25" customHeight="1">
      <c r="A5" s="8" t="s">
        <v>26</v>
      </c>
      <c r="B5" s="11">
        <f>B4*(1+Assumptions!$B$4)</f>
        <v>525000</v>
      </c>
      <c r="C5" s="11">
        <f>B5*Assumptions!$B$7</f>
        <v>157500</v>
      </c>
      <c r="D5" s="11">
        <f>B5*Assumptions!$B$8</f>
        <v>52500</v>
      </c>
      <c r="E5" s="11">
        <f>Assumptions!$B$10</f>
        <v>100000</v>
      </c>
      <c r="F5" s="11">
        <f t="shared" si="1"/>
        <v>215000</v>
      </c>
      <c r="H5" s="5" t="s">
        <v>27</v>
      </c>
      <c r="I5" s="12">
        <v>0.05</v>
      </c>
    </row>
    <row r="6" ht="14.25" customHeight="1">
      <c r="A6" s="8" t="s">
        <v>28</v>
      </c>
      <c r="B6" s="11">
        <f>B5*(1+Assumptions!$B$4)</f>
        <v>551250</v>
      </c>
      <c r="C6" s="11">
        <f>B6*Assumptions!$B$7</f>
        <v>165375</v>
      </c>
      <c r="D6" s="11">
        <f>B6*Assumptions!$B$8</f>
        <v>55125</v>
      </c>
      <c r="E6" s="11">
        <f>Assumptions!$B$10</f>
        <v>100000</v>
      </c>
      <c r="F6" s="11">
        <f t="shared" si="1"/>
        <v>230750</v>
      </c>
      <c r="H6" s="5" t="s">
        <v>29</v>
      </c>
      <c r="I6" s="10">
        <f>B15</f>
        <v>855169.6791</v>
      </c>
    </row>
    <row r="7" ht="14.25" customHeight="1">
      <c r="A7" s="8" t="s">
        <v>30</v>
      </c>
      <c r="B7" s="11">
        <f>B6*(1+Assumptions!$B$4)</f>
        <v>578812.5</v>
      </c>
      <c r="C7" s="11">
        <f>B7*Assumptions!$B$7</f>
        <v>173643.75</v>
      </c>
      <c r="D7" s="11">
        <f>B7*Assumptions!$B$8</f>
        <v>57881.25</v>
      </c>
      <c r="E7" s="11">
        <f>Assumptions!$B$10</f>
        <v>100000</v>
      </c>
      <c r="F7" s="11">
        <f t="shared" si="1"/>
        <v>247287.5</v>
      </c>
    </row>
    <row r="8" ht="14.25" customHeight="1">
      <c r="A8" s="8" t="s">
        <v>31</v>
      </c>
      <c r="B8" s="11">
        <f>B7*(1+Assumptions!$B$4)</f>
        <v>607753.125</v>
      </c>
      <c r="C8" s="11">
        <f>B8*Assumptions!$B$7</f>
        <v>182325.9375</v>
      </c>
      <c r="D8" s="11">
        <f>B8*Assumptions!$B$8</f>
        <v>60775.3125</v>
      </c>
      <c r="E8" s="11">
        <f>Assumptions!$B$10</f>
        <v>100000</v>
      </c>
      <c r="F8" s="11">
        <f t="shared" si="1"/>
        <v>264651.875</v>
      </c>
    </row>
    <row r="9" ht="14.25" customHeight="1">
      <c r="A9" s="8" t="s">
        <v>32</v>
      </c>
      <c r="B9" s="11">
        <f>B8*(1+Assumptions!$B$4)</f>
        <v>638140.7813</v>
      </c>
      <c r="C9" s="11">
        <f>B9*Assumptions!$B$7</f>
        <v>191442.2344</v>
      </c>
      <c r="D9" s="11">
        <f>B9*Assumptions!$B$8</f>
        <v>63814.07813</v>
      </c>
      <c r="E9" s="11">
        <f>Assumptions!$B$10</f>
        <v>100000</v>
      </c>
      <c r="F9" s="11">
        <f t="shared" si="1"/>
        <v>282884.4688</v>
      </c>
      <c r="H9" s="1" t="s">
        <v>0</v>
      </c>
    </row>
    <row r="10" ht="14.25" customHeight="1">
      <c r="A10" s="8" t="s">
        <v>33</v>
      </c>
      <c r="B10" s="11">
        <f>B9*(1+Assumptions!$B$4)</f>
        <v>670047.8203</v>
      </c>
      <c r="C10" s="11">
        <f>B10*Assumptions!$B$7</f>
        <v>201014.3461</v>
      </c>
      <c r="D10" s="11">
        <f>B10*Assumptions!$B$8</f>
        <v>67004.78203</v>
      </c>
      <c r="E10" s="11">
        <f>Assumptions!$B$11</f>
        <v>120000</v>
      </c>
      <c r="F10" s="11">
        <f t="shared" si="1"/>
        <v>282028.6922</v>
      </c>
    </row>
    <row r="11" ht="14.25" customHeight="1">
      <c r="A11" s="8" t="s">
        <v>34</v>
      </c>
      <c r="B11" s="11">
        <f>B10*(1+Assumptions!$B$4)</f>
        <v>703550.2113</v>
      </c>
      <c r="C11" s="11">
        <f>B11*Assumptions!$B$7</f>
        <v>211065.0634</v>
      </c>
      <c r="D11" s="11">
        <f>B11*Assumptions!$B$8</f>
        <v>70355.02113</v>
      </c>
      <c r="E11" s="11">
        <f>Assumptions!$B$11</f>
        <v>120000</v>
      </c>
      <c r="F11" s="11">
        <f t="shared" si="1"/>
        <v>302130.1268</v>
      </c>
      <c r="H11" s="2" t="s">
        <v>2</v>
      </c>
      <c r="I11" s="4">
        <v>500000.0</v>
      </c>
      <c r="J11" s="2" t="s">
        <v>5</v>
      </c>
    </row>
    <row r="12" ht="14.25" customHeight="1">
      <c r="A12" s="8" t="s">
        <v>35</v>
      </c>
      <c r="B12" s="11">
        <f>B11*(1+Assumptions!$B$4)</f>
        <v>738727.7219</v>
      </c>
      <c r="C12" s="11">
        <f>B12*Assumptions!$B$7</f>
        <v>221618.3166</v>
      </c>
      <c r="D12" s="11">
        <f>B12*Assumptions!$B$8</f>
        <v>73872.77219</v>
      </c>
      <c r="E12" s="11">
        <f>Assumptions!$B$11</f>
        <v>120000</v>
      </c>
      <c r="F12" s="11">
        <f t="shared" si="1"/>
        <v>323236.6331</v>
      </c>
      <c r="H12" s="5" t="s">
        <v>7</v>
      </c>
      <c r="I12" s="6">
        <v>0.05</v>
      </c>
      <c r="J12" s="5" t="s">
        <v>5</v>
      </c>
    </row>
    <row r="13" ht="14.25" customHeight="1">
      <c r="A13" s="8" t="s">
        <v>36</v>
      </c>
      <c r="B13" s="11">
        <f>B12*(1+Assumptions!$B$4)</f>
        <v>775664.108</v>
      </c>
      <c r="C13" s="11">
        <f>B13*Assumptions!$B$7</f>
        <v>232699.2324</v>
      </c>
      <c r="D13" s="11">
        <f>B13*Assumptions!$B$8</f>
        <v>77566.4108</v>
      </c>
      <c r="E13" s="11">
        <f>Assumptions!$B$11</f>
        <v>120000</v>
      </c>
      <c r="F13" s="11">
        <f t="shared" si="1"/>
        <v>345398.4648</v>
      </c>
      <c r="H13" s="5" t="s">
        <v>10</v>
      </c>
      <c r="I13" s="7">
        <v>12.0</v>
      </c>
      <c r="J13" s="5" t="s">
        <v>5</v>
      </c>
    </row>
    <row r="14" ht="14.25" customHeight="1">
      <c r="A14" s="8" t="s">
        <v>37</v>
      </c>
      <c r="B14" s="11">
        <f>B13*(1+Assumptions!$B$4)</f>
        <v>814447.3134</v>
      </c>
      <c r="C14" s="11">
        <f>B14*Assumptions!$B$7</f>
        <v>244334.194</v>
      </c>
      <c r="D14" s="11">
        <f>B14*Assumptions!$B$8</f>
        <v>81444.73134</v>
      </c>
      <c r="E14" s="11">
        <f>Assumptions!$B$11</f>
        <v>120000</v>
      </c>
      <c r="F14" s="11">
        <f t="shared" si="1"/>
        <v>368668.388</v>
      </c>
      <c r="H14" s="5" t="s">
        <v>14</v>
      </c>
      <c r="I14" s="9"/>
      <c r="J14" s="5" t="s">
        <v>15</v>
      </c>
    </row>
    <row r="15" ht="14.25" customHeight="1">
      <c r="A15" s="8" t="s">
        <v>38</v>
      </c>
      <c r="B15" s="11">
        <f>B14*(1+Assumptions!$B$4)</f>
        <v>855169.6791</v>
      </c>
      <c r="C15" s="11">
        <f>B15*Assumptions!$B$7</f>
        <v>256550.9037</v>
      </c>
      <c r="D15" s="11">
        <f>B15*Assumptions!$B$8</f>
        <v>85516.96791</v>
      </c>
      <c r="E15" s="11">
        <f>Assumptions!$B$11</f>
        <v>120000</v>
      </c>
      <c r="F15" s="11">
        <f t="shared" si="1"/>
        <v>393101.8074</v>
      </c>
      <c r="H15" s="5" t="s">
        <v>16</v>
      </c>
      <c r="I15" s="7">
        <v>0.3</v>
      </c>
      <c r="J15" s="5" t="s">
        <v>17</v>
      </c>
    </row>
    <row r="16" ht="14.25" customHeight="1">
      <c r="H16" s="5" t="s">
        <v>18</v>
      </c>
      <c r="I16" s="7">
        <v>0.1</v>
      </c>
      <c r="J16" s="5" t="s">
        <v>19</v>
      </c>
    </row>
    <row r="17" ht="14.25" customHeight="1">
      <c r="H17" s="5" t="s">
        <v>20</v>
      </c>
      <c r="I17" s="6"/>
      <c r="J17" s="5" t="s">
        <v>21</v>
      </c>
    </row>
    <row r="18" ht="14.25" customHeight="1">
      <c r="A18" s="13" t="s">
        <v>39</v>
      </c>
      <c r="H18" s="5" t="s">
        <v>22</v>
      </c>
      <c r="I18" s="6">
        <v>100000.0</v>
      </c>
      <c r="J18" s="5" t="s">
        <v>23</v>
      </c>
    </row>
    <row r="19" ht="14.25" customHeight="1">
      <c r="I19" s="10">
        <v>120000.0</v>
      </c>
      <c r="J19" s="5" t="s">
        <v>24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8:F20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20.0"/>
    <col customWidth="1" min="3" max="3" width="55.0"/>
    <col customWidth="1" min="4" max="26" width="8.71"/>
  </cols>
  <sheetData>
    <row r="1" ht="14.25" customHeight="1">
      <c r="A1" s="1" t="s">
        <v>0</v>
      </c>
    </row>
    <row r="2" ht="14.25" customHeight="1"/>
    <row r="3" ht="14.25" customHeight="1">
      <c r="A3" s="2" t="s">
        <v>2</v>
      </c>
      <c r="B3" s="4">
        <v>500000.0</v>
      </c>
      <c r="C3" s="2" t="s">
        <v>5</v>
      </c>
    </row>
    <row r="4" ht="14.25" customHeight="1">
      <c r="A4" s="5" t="s">
        <v>7</v>
      </c>
      <c r="B4" s="6">
        <v>0.05</v>
      </c>
      <c r="C4" s="5" t="s">
        <v>5</v>
      </c>
    </row>
    <row r="5" ht="14.25" customHeight="1">
      <c r="A5" s="5" t="s">
        <v>10</v>
      </c>
      <c r="B5" s="7">
        <v>12.0</v>
      </c>
      <c r="C5" s="5" t="s">
        <v>5</v>
      </c>
    </row>
    <row r="6" ht="14.25" customHeight="1">
      <c r="A6" s="5" t="s">
        <v>14</v>
      </c>
      <c r="B6" s="9"/>
      <c r="C6" s="5" t="s">
        <v>15</v>
      </c>
    </row>
    <row r="7" ht="14.25" customHeight="1">
      <c r="A7" s="5" t="s">
        <v>16</v>
      </c>
      <c r="B7" s="7">
        <v>0.3</v>
      </c>
      <c r="C7" s="5" t="s">
        <v>17</v>
      </c>
    </row>
    <row r="8" ht="14.25" customHeight="1">
      <c r="A8" s="5" t="s">
        <v>18</v>
      </c>
      <c r="B8" s="7">
        <v>0.1</v>
      </c>
      <c r="C8" s="5" t="s">
        <v>19</v>
      </c>
    </row>
    <row r="9" ht="14.25" customHeight="1">
      <c r="A9" s="5" t="s">
        <v>20</v>
      </c>
      <c r="B9" s="6"/>
      <c r="C9" s="5" t="s">
        <v>21</v>
      </c>
    </row>
    <row r="10" ht="14.25" customHeight="1">
      <c r="A10" s="5" t="s">
        <v>22</v>
      </c>
      <c r="B10" s="6">
        <v>100000.0</v>
      </c>
      <c r="C10" s="5" t="s">
        <v>23</v>
      </c>
    </row>
    <row r="11" ht="14.25" customHeight="1">
      <c r="B11" s="10">
        <v>120000.0</v>
      </c>
      <c r="C11" s="5" t="s">
        <v>24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2026-09-02T17:20:15Z</dcterms:created>
  <dc:creator>openpyxl</dc:creator>
</cp:coreProperties>
</file>