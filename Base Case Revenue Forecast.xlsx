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se Case Forecast" sheetId="1" r:id="rId4"/>
    <sheet state="visible" name="Assumptions" sheetId="2" r:id="rId5"/>
  </sheets>
  <definedNames/>
  <calcPr/>
  <extLst>
    <ext uri="GoogleSheetsCustomDataVersion2">
      <go:sheetsCustomData xmlns:go="http://customooxmlschemas.google.com/" r:id="rId6" roundtripDataChecksum="VzPLZjSnzhiWE6g38iNifb2U4ay+dCDYLdeYW/akq8A="/>
    </ext>
  </extLst>
</workbook>
</file>

<file path=xl/sharedStrings.xml><?xml version="1.0" encoding="utf-8"?>
<sst xmlns="http://schemas.openxmlformats.org/spreadsheetml/2006/main" count="66" uniqueCount="47">
  <si>
    <t>Base Case Forecast Assumptions</t>
  </si>
  <si>
    <t>Base Case Forecast</t>
  </si>
  <si>
    <t>Starting Revenue (Month 1)</t>
  </si>
  <si>
    <t>Month</t>
  </si>
  <si>
    <t>Revenue</t>
  </si>
  <si>
    <t>Cost of Services</t>
  </si>
  <si>
    <t>Marketing</t>
  </si>
  <si>
    <t>Operating Expenses</t>
  </si>
  <si>
    <t>Given</t>
  </si>
  <si>
    <t>Net Operating Profit</t>
  </si>
  <si>
    <t>Revenue Check</t>
  </si>
  <si>
    <t>Monthly Revenue Growth</t>
  </si>
  <si>
    <t>Month 1</t>
  </si>
  <si>
    <t>Forecast Period (Months)</t>
  </si>
  <si>
    <t>Cost of Services (% of Revenue)</t>
  </si>
  <si>
    <t>Not provided in the attached instructions</t>
  </si>
  <si>
    <t>Month 1 Revenue</t>
  </si>
  <si>
    <t>Marketing Expense (% of Revenue)</t>
  </si>
  <si>
    <t>Base-case assumption: 30% of monthly revenue</t>
  </si>
  <si>
    <t>Month 2</t>
  </si>
  <si>
    <t>Marketing Expense (Fixed Monthly Amount)</t>
  </si>
  <si>
    <t>Base-case assumption: 10% of monthly revenue</t>
  </si>
  <si>
    <t>Operating Expenses (Months 1–6)</t>
  </si>
  <si>
    <t>Not used because marketing is modeled as % of revenue</t>
  </si>
  <si>
    <t>Monthly Growth</t>
  </si>
  <si>
    <t>Operating Expenses (Months 7–12)</t>
  </si>
  <si>
    <t>Base-case assumption: $100,000/month</t>
  </si>
  <si>
    <t>Month 3</t>
  </si>
  <si>
    <t>Base-case assumption: $120,000/month from Month 7</t>
  </si>
  <si>
    <t>Month 12 Revenue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</si>
  <si>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</si>
  <si>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</si>
  <si>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</si>
  <si>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</si>
  <si>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</si>
  <si>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</si>
  <si>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</si>
  <si>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</si>
  <si>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</si>
  <si>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-</t>
  </si>
  <si>
    <t>Base-case expense assumptions used to complete the model: Cost of Services = 30% of revenue; Marketing = 10% of revenue; Operating Expenses = $100,000/month for Months 1–6 and $120,000/month for Months 7–12.</t>
  </si>
  <si>
    <t>Scenario Summary</t>
  </si>
  <si>
    <t>Net Operating Profit = Revenue - Cost of services - Marketing - Operating Expenses</t>
  </si>
  <si>
    <t>Scenario        Year-End Net Operating Profit</t>
  </si>
  <si>
    <t>Base Case        $393,102</t>
  </si>
  <si>
    <t>Optimistic        $595,125</t>
  </si>
  <si>
    <t>Downside        $226,822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</si>
</sst>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\$#,##0"/>
    <numFmt numFmtId="165" formatCode="0.0%"/>
  </numFmts>
  <fonts count="11">
    <font>
      <sz val="11.0"/>
      <color theme="1"/>
      <name val="Calibri"/>
      <scheme val="minor"/>
    </font>
    <font>
      <b/>
      <sz val="19.0"/>
      <color theme="1"/>
      <name val="Calibri"/>
    </font>
    <font>
      <sz val="19.0"/>
      <color theme="1"/>
      <name val="Calibri"/>
      <scheme val="minor"/>
    </font>
    <font>
      <sz val="16.0"/>
      <color theme="1"/>
      <name val="Calibri"/>
      <scheme val="minor"/>
    </font>
    <font>
      <b/>
      <sz val="16.0"/>
      <color theme="1"/>
      <name val="Calibri"/>
    </font>
    <font>
      <sz val="19.0"/>
      <color theme="1"/>
      <name val="Calibri"/>
    </font>
    <font>
      <sz val="16.0"/>
      <color theme="1"/>
      <name val="Calibri"/>
    </font>
    <font>
      <sz val="17.0"/>
      <color theme="1"/>
      <name val="Calibri"/>
      <scheme val="minor"/>
    </font>
    <font>
      <b/>
      <sz val="17.0"/>
      <color rgb="FF000000"/>
      <name val="Calibri"/>
    </font>
    <font>
      <b/>
      <sz val="16.0"/>
      <color theme="1"/>
      <name val="Calibri"/>
      <scheme val="minor"/>
    </font>
    <font>
      <sz val="17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4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2" fontId="4" numFmtId="0" xfId="0" applyAlignment="1" applyBorder="1" applyFill="1" applyFont="1">
      <alignment horizontal="center"/>
    </xf>
    <xf borderId="2" fillId="2" fontId="1" numFmtId="0" xfId="0" applyBorder="1" applyFill="1" applyFont="1"/>
    <xf borderId="0" fillId="0" fontId="4" numFmtId="0" xfId="0" applyFont="1"/>
    <xf borderId="0" fillId="0" fontId="5" numFmtId="0" xfId="0" applyFont="1"/>
    <xf borderId="1" fillId="0" fontId="6" numFmtId="0" xfId="0" applyBorder="1" applyFont="1"/>
    <xf borderId="2" fillId="2" fontId="5" numFmtId="164" xfId="0" applyBorder="1" applyFill="1" applyFont="1" applyNumberFormat="1"/>
    <xf borderId="1" fillId="0" fontId="6" numFmtId="164" xfId="0" applyBorder="1" applyFont="1" applyNumberFormat="1"/>
    <xf borderId="2" fillId="2" fontId="5" numFmtId="165" xfId="0" applyBorder="1" applyFill="1" applyFont="1" applyNumberFormat="1"/>
    <xf borderId="2" fillId="2" fontId="5" numFmtId="1" xfId="0" applyBorder="1" applyFill="1" applyFont="1" applyNumberFormat="1"/>
    <xf borderId="0" fillId="0" fontId="6" numFmtId="0" xfId="0" applyFont="1"/>
    <xf borderId="0" fillId="0" fontId="6" numFmtId="164" xfId="0" applyFont="1" applyNumberFormat="1"/>
    <xf borderId="0" fillId="0" fontId="6" numFmtId="165" xfId="0" applyFont="1" applyNumberFormat="1"/>
    <xf borderId="0" fillId="3" fontId="3" numFmtId="0" xfId="0" applyFill="1" applyFont="1"/>
    <xf borderId="0" fillId="0" fontId="5" numFmtId="164" xfId="0" applyFont="1" applyNumberFormat="1"/>
    <xf borderId="3" fillId="0" fontId="4" numFmtId="0" xfId="0" applyBorder="1" applyFont="1"/>
    <xf borderId="3" fillId="2" fontId="4" numFmtId="0" xfId="0" applyBorder="1" applyFill="1" applyFont="1"/>
    <xf borderId="3" fillId="0" fontId="6" numFmtId="0" xfId="0" applyBorder="1" applyFont="1"/>
    <xf borderId="3" fillId="2" fontId="6" numFmtId="9" xfId="0" applyAlignment="1" applyBorder="1" applyFill="1" applyFont="1" applyNumberFormat="1">
      <alignment readingOrder="0"/>
    </xf>
    <xf borderId="3" fillId="2" fontId="6" numFmtId="3" xfId="0" applyAlignment="1" applyBorder="1" applyFill="1" applyFont="1" applyNumberFormat="1">
      <alignment readingOrder="0"/>
    </xf>
    <xf borderId="3" fillId="2" fontId="6" numFmtId="165" xfId="0" applyBorder="1" applyFill="1" applyFont="1" applyNumberFormat="1"/>
    <xf borderId="3" fillId="2" fontId="6" numFmtId="164" xfId="0" applyAlignment="1" applyBorder="1" applyFill="1" applyFont="1" applyNumberFormat="1">
      <alignment readingOrder="0"/>
    </xf>
    <xf borderId="3" fillId="2" fontId="6" numFmtId="164" xfId="0" applyBorder="1" applyFill="1" applyFont="1" applyNumberFormat="1"/>
    <xf borderId="0" fillId="0" fontId="6" numFmtId="0" xfId="0" applyAlignment="1" applyFont="1">
      <alignment shrinkToFit="0" vertical="top" wrapText="1"/>
    </xf>
    <xf borderId="3" fillId="0" fontId="6" numFmtId="164" xfId="0" applyBorder="1" applyFont="1" applyNumberFormat="1"/>
    <xf borderId="0" fillId="0" fontId="7" numFmtId="0" xfId="0" applyFont="1"/>
    <xf borderId="0" fillId="4" fontId="8" numFmtId="0" xfId="0" applyAlignment="1" applyFill="1" applyFont="1">
      <alignment horizontal="left" readingOrder="0" shrinkToFit="0" wrapText="1"/>
    </xf>
    <xf borderId="0" fillId="0" fontId="9" numFmtId="0" xfId="0" applyAlignment="1" applyFont="1">
      <alignment readingOrder="0"/>
    </xf>
    <xf borderId="3" fillId="4" fontId="8" numFmtId="0" xfId="0" applyAlignment="1" applyBorder="1" applyFill="1" applyFont="1">
      <alignment horizontal="left" readingOrder="0" shrinkToFit="0" wrapText="1"/>
    </xf>
    <xf borderId="3" fillId="4" fontId="10" numFmtId="0" xfId="0" applyAlignment="1" applyBorder="1" applyFill="1" applyFont="1">
      <alignment horizontal="left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4.0"/>
    <col customWidth="1" min="2" max="2" width="16.0"/>
    <col customWidth="1" min="3" max="3" width="23.0"/>
    <col customWidth="1" min="4" max="4" width="16.0"/>
    <col customWidth="1" min="5" max="5" width="26.86"/>
    <col customWidth="1" min="6" max="6" width="27.14"/>
    <col customWidth="1" min="7" max="7" width="5.71"/>
    <col customWidth="1" min="8" max="8" width="55.57"/>
    <col customWidth="1" min="9" max="9" width="17.71"/>
    <col customWidth="1" min="10" max="26" width="8.71"/>
  </cols>
  <sheetData>
    <row r="1" ht="24.0" customHeight="1">
      <c r="A1" s="1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4.0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4.0" customHeight="1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9</v>
      </c>
      <c r="G3" s="3"/>
      <c r="H3" s="6" t="s">
        <v>10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9.5" customHeight="1">
      <c r="A4" s="8" t="s">
        <v>12</v>
      </c>
      <c r="B4" s="10">
        <f>Assumptions!$B$3</f>
        <v>500000</v>
      </c>
      <c r="C4" s="10">
        <f>B4*Assumptions!$B$7</f>
        <v>150000</v>
      </c>
      <c r="D4" s="10">
        <f>B4*Assumptions!$B$8</f>
        <v>50000</v>
      </c>
      <c r="E4" s="10">
        <f>Assumptions!$B$10</f>
        <v>100000</v>
      </c>
      <c r="F4" s="10">
        <f t="shared" ref="F4:F15" si="1">B4-C4-D4-E4</f>
        <v>200000</v>
      </c>
      <c r="G4" s="3"/>
      <c r="H4" s="13" t="s">
        <v>16</v>
      </c>
      <c r="I4" s="14">
        <v>500000.0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9.5" customHeight="1">
      <c r="A5" s="8" t="s">
        <v>19</v>
      </c>
      <c r="B5" s="10">
        <f>B4*(1+Assumptions!$B$4)</f>
        <v>525000</v>
      </c>
      <c r="C5" s="10">
        <f>B5*Assumptions!$B$7</f>
        <v>157500</v>
      </c>
      <c r="D5" s="10">
        <f>B5*Assumptions!$B$8</f>
        <v>52500</v>
      </c>
      <c r="E5" s="10">
        <f>Assumptions!$B$10</f>
        <v>100000</v>
      </c>
      <c r="F5" s="10">
        <f t="shared" si="1"/>
        <v>215000</v>
      </c>
      <c r="G5" s="3"/>
      <c r="H5" s="13" t="s">
        <v>24</v>
      </c>
      <c r="I5" s="15">
        <v>0.05</v>
      </c>
      <c r="J5" s="3"/>
      <c r="K5" s="3"/>
      <c r="L5" s="3"/>
      <c r="M5" s="3"/>
      <c r="N5" s="16"/>
      <c r="O5" s="16"/>
      <c r="P5" s="16"/>
      <c r="Q5" s="16"/>
      <c r="R5" s="3"/>
      <c r="S5" s="3"/>
      <c r="T5" s="3"/>
      <c r="U5" s="3"/>
      <c r="V5" s="3"/>
      <c r="W5" s="3"/>
      <c r="X5" s="3"/>
      <c r="Y5" s="3"/>
      <c r="Z5" s="3"/>
    </row>
    <row r="6" ht="19.5" customHeight="1">
      <c r="A6" s="8" t="s">
        <v>27</v>
      </c>
      <c r="B6" s="10">
        <f>B5*(1+Assumptions!$B$4)</f>
        <v>551250</v>
      </c>
      <c r="C6" s="10">
        <f>B6*Assumptions!$B$7</f>
        <v>165375</v>
      </c>
      <c r="D6" s="10">
        <f>B6*Assumptions!$B$8</f>
        <v>55125</v>
      </c>
      <c r="E6" s="10">
        <f>Assumptions!$B$10</f>
        <v>100000</v>
      </c>
      <c r="F6" s="10">
        <f t="shared" si="1"/>
        <v>230750</v>
      </c>
      <c r="G6" s="3"/>
      <c r="H6" s="13" t="s">
        <v>29</v>
      </c>
      <c r="I6" s="14">
        <f>B15</f>
        <v>855169.6791</v>
      </c>
      <c r="J6" s="3"/>
      <c r="K6" s="3"/>
      <c r="L6" s="3"/>
      <c r="M6" s="3"/>
      <c r="N6" s="16"/>
      <c r="O6" s="16"/>
      <c r="P6" s="16"/>
      <c r="Q6" s="16"/>
      <c r="R6" s="3"/>
      <c r="S6" s="3"/>
      <c r="T6" s="3"/>
      <c r="U6" s="3"/>
      <c r="V6" s="3"/>
      <c r="W6" s="3"/>
      <c r="X6" s="3"/>
      <c r="Y6" s="3"/>
      <c r="Z6" s="3"/>
    </row>
    <row r="7" ht="19.5" customHeight="1">
      <c r="A7" s="8" t="s">
        <v>30</v>
      </c>
      <c r="B7" s="10">
        <f>B6*(1+Assumptions!$B$4)</f>
        <v>578812.5</v>
      </c>
      <c r="C7" s="10">
        <f>B7*Assumptions!$B$7</f>
        <v>173643.75</v>
      </c>
      <c r="D7" s="10">
        <f>B7*Assumptions!$B$8</f>
        <v>57881.25</v>
      </c>
      <c r="E7" s="10">
        <f>Assumptions!$B$10</f>
        <v>100000</v>
      </c>
      <c r="F7" s="10">
        <f t="shared" si="1"/>
        <v>247287.5</v>
      </c>
      <c r="G7" s="3"/>
      <c r="H7" s="3"/>
      <c r="I7" s="3"/>
      <c r="J7" s="3"/>
      <c r="K7" s="3"/>
      <c r="L7" s="3"/>
      <c r="M7" s="3"/>
      <c r="N7" s="16"/>
      <c r="O7" s="16"/>
      <c r="P7" s="16"/>
      <c r="Q7" s="16"/>
      <c r="R7" s="3"/>
      <c r="S7" s="3"/>
      <c r="T7" s="3"/>
      <c r="U7" s="3"/>
      <c r="V7" s="3"/>
      <c r="W7" s="3"/>
      <c r="X7" s="3"/>
      <c r="Y7" s="3"/>
      <c r="Z7" s="3"/>
    </row>
    <row r="8" ht="19.5" customHeight="1">
      <c r="A8" s="8" t="s">
        <v>31</v>
      </c>
      <c r="B8" s="10">
        <f>B7*(1+Assumptions!$B$4)</f>
        <v>607753.125</v>
      </c>
      <c r="C8" s="10">
        <f>B8*Assumptions!$B$7</f>
        <v>182325.9375</v>
      </c>
      <c r="D8" s="10">
        <f>B8*Assumptions!$B$8</f>
        <v>60775.3125</v>
      </c>
      <c r="E8" s="10">
        <f>Assumptions!$B$10</f>
        <v>100000</v>
      </c>
      <c r="F8" s="10">
        <f t="shared" si="1"/>
        <v>264651.875</v>
      </c>
      <c r="G8" s="3"/>
      <c r="H8" s="3"/>
      <c r="I8" s="3"/>
      <c r="J8" s="3"/>
      <c r="K8" s="3"/>
      <c r="L8" s="3"/>
      <c r="M8" s="3"/>
      <c r="N8" s="16"/>
      <c r="O8" s="16"/>
      <c r="P8" s="16"/>
      <c r="Q8" s="16"/>
      <c r="R8" s="3"/>
      <c r="S8" s="3"/>
      <c r="T8" s="3"/>
      <c r="U8" s="3"/>
      <c r="V8" s="3"/>
      <c r="W8" s="3"/>
      <c r="X8" s="3"/>
      <c r="Y8" s="3"/>
      <c r="Z8" s="3"/>
    </row>
    <row r="9" ht="19.5" customHeight="1">
      <c r="A9" s="8" t="s">
        <v>32</v>
      </c>
      <c r="B9" s="10">
        <f>B8*(1+Assumptions!$B$4)</f>
        <v>638140.7813</v>
      </c>
      <c r="C9" s="10">
        <f>B9*Assumptions!$B$7</f>
        <v>191442.2344</v>
      </c>
      <c r="D9" s="10">
        <f>B9*Assumptions!$B$8</f>
        <v>63814.07813</v>
      </c>
      <c r="E9" s="10">
        <f>Assumptions!$B$10</f>
        <v>100000</v>
      </c>
      <c r="F9" s="10">
        <f t="shared" si="1"/>
        <v>282884.4688</v>
      </c>
      <c r="G9" s="3"/>
      <c r="H9" s="6" t="s">
        <v>0</v>
      </c>
      <c r="I9" s="3"/>
      <c r="J9" s="3"/>
      <c r="K9" s="3"/>
      <c r="L9" s="3"/>
      <c r="M9" s="3"/>
      <c r="N9" s="16"/>
      <c r="O9" s="16"/>
      <c r="P9" s="16"/>
      <c r="Q9" s="16"/>
      <c r="R9" s="3"/>
      <c r="S9" s="3"/>
      <c r="T9" s="3"/>
      <c r="U9" s="3"/>
      <c r="V9" s="3"/>
      <c r="W9" s="3"/>
      <c r="X9" s="3"/>
      <c r="Y9" s="3"/>
      <c r="Z9" s="3"/>
    </row>
    <row r="10" ht="19.5" customHeight="1">
      <c r="A10" s="8" t="s">
        <v>33</v>
      </c>
      <c r="B10" s="10">
        <f>B9*(1+Assumptions!$B$4)</f>
        <v>670047.8203</v>
      </c>
      <c r="C10" s="10">
        <f>B10*Assumptions!$B$7</f>
        <v>201014.3461</v>
      </c>
      <c r="D10" s="10">
        <f>B10*Assumptions!$B$8</f>
        <v>67004.78203</v>
      </c>
      <c r="E10" s="10">
        <f>Assumptions!$B$11</f>
        <v>120000</v>
      </c>
      <c r="F10" s="10">
        <f t="shared" si="1"/>
        <v>282028.6922</v>
      </c>
      <c r="G10" s="3"/>
      <c r="H10" s="3"/>
      <c r="I10" s="3"/>
      <c r="J10" s="3"/>
      <c r="K10" s="3"/>
      <c r="L10" s="3"/>
      <c r="M10" s="3"/>
      <c r="N10" s="16"/>
      <c r="O10" s="16"/>
      <c r="P10" s="16"/>
      <c r="Q10" s="16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8" t="s">
        <v>34</v>
      </c>
      <c r="B11" s="10">
        <f>B10*(1+Assumptions!$B$4)</f>
        <v>703550.2113</v>
      </c>
      <c r="C11" s="10">
        <f>B11*Assumptions!$B$7</f>
        <v>211065.0634</v>
      </c>
      <c r="D11" s="10">
        <f>B11*Assumptions!$B$8</f>
        <v>70355.02113</v>
      </c>
      <c r="E11" s="10">
        <f>Assumptions!$B$11</f>
        <v>120000</v>
      </c>
      <c r="F11" s="10">
        <f t="shared" si="1"/>
        <v>302130.1268</v>
      </c>
      <c r="G11" s="3"/>
      <c r="H11" s="18" t="s">
        <v>2</v>
      </c>
      <c r="I11" s="19">
        <v>500000.0</v>
      </c>
      <c r="J11" s="6" t="s">
        <v>8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8" t="s">
        <v>35</v>
      </c>
      <c r="B12" s="10">
        <f>B11*(1+Assumptions!$B$4)</f>
        <v>738727.7219</v>
      </c>
      <c r="C12" s="10">
        <f>B12*Assumptions!$B$7</f>
        <v>221618.3166</v>
      </c>
      <c r="D12" s="10">
        <f>B12*Assumptions!$B$8</f>
        <v>73872.77219</v>
      </c>
      <c r="E12" s="10">
        <f>Assumptions!$B$11</f>
        <v>120000</v>
      </c>
      <c r="F12" s="10">
        <f t="shared" si="1"/>
        <v>323236.6331</v>
      </c>
      <c r="G12" s="3"/>
      <c r="H12" s="20" t="s">
        <v>11</v>
      </c>
      <c r="I12" s="21">
        <v>0.05</v>
      </c>
      <c r="J12" s="13" t="s">
        <v>8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8" t="s">
        <v>36</v>
      </c>
      <c r="B13" s="10">
        <f>B12*(1+Assumptions!$B$4)</f>
        <v>775664.108</v>
      </c>
      <c r="C13" s="10">
        <f>B13*Assumptions!$B$7</f>
        <v>232699.2324</v>
      </c>
      <c r="D13" s="10">
        <f>B13*Assumptions!$B$8</f>
        <v>77566.4108</v>
      </c>
      <c r="E13" s="10">
        <f>Assumptions!$B$11</f>
        <v>120000</v>
      </c>
      <c r="F13" s="10">
        <f t="shared" si="1"/>
        <v>345398.4648</v>
      </c>
      <c r="G13" s="3"/>
      <c r="H13" s="20" t="s">
        <v>13</v>
      </c>
      <c r="I13" s="22">
        <v>12.0</v>
      </c>
      <c r="J13" s="13" t="s">
        <v>8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8" t="s">
        <v>37</v>
      </c>
      <c r="B14" s="10">
        <f>B13*(1+Assumptions!$B$4)</f>
        <v>814447.3134</v>
      </c>
      <c r="C14" s="10">
        <f>B14*Assumptions!$B$7</f>
        <v>244334.194</v>
      </c>
      <c r="D14" s="10">
        <f>B14*Assumptions!$B$8</f>
        <v>81444.73134</v>
      </c>
      <c r="E14" s="10">
        <f>Assumptions!$B$11</f>
        <v>120000</v>
      </c>
      <c r="F14" s="10">
        <f t="shared" si="1"/>
        <v>368668.388</v>
      </c>
      <c r="G14" s="3"/>
      <c r="H14" s="20" t="s">
        <v>14</v>
      </c>
      <c r="I14" s="23">
        <v>0.3</v>
      </c>
      <c r="J14" s="13" t="s">
        <v>18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8" t="s">
        <v>38</v>
      </c>
      <c r="B15" s="10">
        <f>B14*(1+Assumptions!$B$4)</f>
        <v>855169.6791</v>
      </c>
      <c r="C15" s="10">
        <f>B15*Assumptions!$B$7</f>
        <v>256550.9037</v>
      </c>
      <c r="D15" s="10">
        <f>B15*Assumptions!$B$8</f>
        <v>85516.96791</v>
      </c>
      <c r="E15" s="10">
        <f>Assumptions!$B$11</f>
        <v>120000</v>
      </c>
      <c r="F15" s="10">
        <f t="shared" si="1"/>
        <v>393101.8074</v>
      </c>
      <c r="G15" s="3"/>
      <c r="H15" s="20" t="s">
        <v>17</v>
      </c>
      <c r="I15" s="23">
        <v>0.1</v>
      </c>
      <c r="J15" s="13" t="s">
        <v>21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30.0" customHeight="1">
      <c r="A16" s="3"/>
      <c r="B16" s="3"/>
      <c r="C16" s="3"/>
      <c r="D16" s="3"/>
      <c r="E16" s="3"/>
      <c r="F16" s="3"/>
      <c r="G16" s="3"/>
      <c r="H16" s="20" t="s">
        <v>20</v>
      </c>
      <c r="I16" s="24" t="s">
        <v>39</v>
      </c>
      <c r="J16" s="13" t="s">
        <v>23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30.0" customHeight="1">
      <c r="A17" s="3"/>
      <c r="B17" s="3"/>
      <c r="C17" s="3"/>
      <c r="D17" s="3"/>
      <c r="E17" s="3"/>
      <c r="F17" s="3"/>
      <c r="G17" s="3"/>
      <c r="H17" s="20" t="s">
        <v>22</v>
      </c>
      <c r="I17" s="25">
        <v>100000.0</v>
      </c>
      <c r="J17" s="13" t="s">
        <v>26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30.0" customHeight="1">
      <c r="A18" s="26" t="s">
        <v>40</v>
      </c>
      <c r="G18" s="3"/>
      <c r="H18" s="20" t="s">
        <v>25</v>
      </c>
      <c r="I18" s="27">
        <v>120000.0</v>
      </c>
      <c r="J18" s="13" t="s">
        <v>28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30.0" customHeight="1">
      <c r="G19" s="3"/>
      <c r="H19" s="3"/>
      <c r="R19" s="3"/>
      <c r="S19" s="3"/>
      <c r="T19" s="3"/>
      <c r="U19" s="3"/>
      <c r="V19" s="3"/>
      <c r="W19" s="3"/>
      <c r="X19" s="3"/>
      <c r="Y19" s="3"/>
      <c r="Z19" s="3"/>
    </row>
    <row r="20" ht="22.5" customHeight="1">
      <c r="G20" s="28"/>
      <c r="H20" s="29" t="s">
        <v>41</v>
      </c>
      <c r="I20" s="28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2.5" customHeight="1">
      <c r="A21" s="30" t="s">
        <v>42</v>
      </c>
      <c r="B21" s="3"/>
      <c r="C21" s="3"/>
      <c r="D21" s="3"/>
      <c r="E21" s="3"/>
      <c r="F21" s="3"/>
      <c r="G21" s="28"/>
      <c r="H21" s="31" t="s">
        <v>43</v>
      </c>
      <c r="I21" s="28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22.5" customHeight="1">
      <c r="A22" s="3"/>
      <c r="B22" s="3"/>
      <c r="C22" s="3"/>
      <c r="D22" s="3"/>
      <c r="E22" s="3"/>
      <c r="F22" s="3"/>
      <c r="G22" s="28"/>
      <c r="H22" s="32" t="s">
        <v>44</v>
      </c>
      <c r="I22" s="28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22.5" customHeight="1">
      <c r="A23" s="3"/>
      <c r="B23" s="3"/>
      <c r="C23" s="3"/>
      <c r="D23" s="3"/>
      <c r="E23" s="3"/>
      <c r="F23" s="3"/>
      <c r="G23" s="28"/>
      <c r="H23" s="32" t="s">
        <v>45</v>
      </c>
      <c r="I23" s="28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22.5" customHeight="1">
      <c r="A24" s="3"/>
      <c r="B24" s="3"/>
      <c r="C24" s="3"/>
      <c r="D24" s="3"/>
      <c r="E24" s="3"/>
      <c r="F24" s="3"/>
      <c r="G24" s="28"/>
      <c r="H24" s="32" t="s">
        <v>46</v>
      </c>
      <c r="I24" s="28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22.5" customHeight="1">
      <c r="A25" s="3"/>
      <c r="B25" s="3"/>
      <c r="C25" s="3"/>
      <c r="D25" s="3"/>
      <c r="E25" s="3"/>
      <c r="F25" s="3"/>
      <c r="G25" s="28"/>
      <c r="H25" s="28"/>
      <c r="I25" s="28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2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4.2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4.2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4.2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4.2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4.2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4.2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4.2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4.2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4.2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4.2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4.2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4.2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4.2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4.2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4.2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4.2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4.2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4.2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4.2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4.2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4.2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4.2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4.2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4.2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4.2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4.2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4.2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4.2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4.2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4.2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4.2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4.2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4.2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4.2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4.2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4.2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4.2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4.2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4.2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4.2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4.2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4.2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4.2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4.2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4.2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4.2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4.2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4.2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4.2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4.2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4.2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4.2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4.2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4.2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4.2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4.2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4.2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4.2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4.2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4.2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4.2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4.2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4.2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4.2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4.2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4.2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4.2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4.2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4.2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4.2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4.2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4.2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4.2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4.2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4.2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4.2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4.2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4.2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4.2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4.2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4.2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4.2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4.2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4.2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4.2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4.2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4.2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4.2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4.2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4.2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4.2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4.2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4.2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4.2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4.2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4.2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4.2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4.2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4.2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4.2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4.2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4.2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4.2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4.2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4.2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4.2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4.2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4.2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4.2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4.2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4.2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4.2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4.2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4.2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4.2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4.2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4.2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4.2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4.2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4.2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4.2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4.2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4.2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4.2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4.2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4.2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4.2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4.2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4.2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4.2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4.2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4.2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4.2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4.2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4.2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4.2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4.2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4.2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4.2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4.2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4.2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4.2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4.2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4.2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4.2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4.2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4.2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4.2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4.2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4.2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4.2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4.2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4.2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4.2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4.2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4.2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4.2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4.2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4.2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4.2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4.2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4.2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4.2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4.2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4.2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4.2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4.2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4.2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4.2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4.2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4.2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4.2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4.2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4.2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4.2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4.2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4.2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4.2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4.2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4.2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4.2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4.2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4.2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4.2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4.2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4.2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4.2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4.2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4.2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4.2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4.2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4.2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4.2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4.2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4.2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4.2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4.2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4.2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4.2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4.2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4.2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4.2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4.2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4.2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4.2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4.2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4.2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4.2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4.2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4.2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4.2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4.2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4.2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4.2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4.2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4.2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4.2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4.2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4.2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4.2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4.2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4.2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4.2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4.2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4.2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4.2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4.2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4.2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4.2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4.2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4.2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4.2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4.2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4.2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4.2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4.2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4.2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4.2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4.2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4.2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4.2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4.2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4.2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4.2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4.2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4.2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4.2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4.2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4.2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4.2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4.2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4.2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4.2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4.2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4.2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4.2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4.2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4.2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4.2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4.2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4.2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4.2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4.2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4.2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4.2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4.2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4.2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4.2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4.2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4.2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4.2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4.2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4.2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4.2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4.2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4.2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4.2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4.2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4.2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4.2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4.2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4.2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4.2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4.2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4.2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4.2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4.2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4.2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4.2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4.2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4.2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4.2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4.2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4.2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4.2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4.2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4.2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4.2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4.2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4.2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4.2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4.2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4.2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4.2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4.2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4.2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4.2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4.2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4.2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4.2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4.2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4.2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4.2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4.2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4.2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4.2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4.2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4.2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4.2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4.2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4.2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4.2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4.2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4.2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4.2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4.2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4.2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4.2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4.2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4.2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4.2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4.2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4.2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4.2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4.2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4.2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4.2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4.2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4.2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4.2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4.2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4.2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4.2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4.2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4.2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4.2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4.2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4.2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4.2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4.2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4.2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4.2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4.2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4.2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4.2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4.2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4.2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4.2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4.2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4.2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4.2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4.2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4.2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4.2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4.2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4.2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4.2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4.2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4.2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4.2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4.2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4.2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4.2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4.2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4.2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4.2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4.2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4.2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4.2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4.2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4.2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4.2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4.2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4.2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4.2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4.2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4.2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4.2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4.2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4.2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4.2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4.2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4.2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4.2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4.2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4.2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4.2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4.2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4.2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4.2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4.2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4.2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4.2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4.2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4.2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4.2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4.2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4.2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4.2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4.2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4.2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4.2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4.2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4.2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4.2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4.2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4.2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4.2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4.2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4.2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4.2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4.2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4.2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4.2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4.2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4.2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4.2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4.2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4.2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4.2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4.2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4.2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4.2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4.2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4.2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4.2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4.2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4.2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4.2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4.2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4.2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4.2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4.2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4.2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4.2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4.2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4.2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4.2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4.2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4.2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4.2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4.2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4.2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4.2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4.2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4.2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4.2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4.2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4.2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4.2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4.2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4.2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4.2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4.2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4.2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4.2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4.2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4.2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4.2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4.2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4.2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4.2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4.2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4.2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4.2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4.2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4.2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4.2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4.2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4.2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4.2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4.2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4.2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4.2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4.2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4.2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4.2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4.2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4.2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4.2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4.2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4.2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4.2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4.2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4.2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4.2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4.2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4.2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4.2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4.2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4.2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4.2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4.2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4.2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4.2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4.2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4.2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4.2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4.2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4.2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4.2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4.2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4.2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4.2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4.2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4.2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4.2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4.2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4.2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4.2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4.2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4.2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4.2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4.2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4.2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4.2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4.2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4.2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4.2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4.2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4.2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4.2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4.2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4.2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4.2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4.2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4.2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4.2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4.2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4.2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4.2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4.2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4.2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4.2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4.2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4.2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4.2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4.2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4.2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4.2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4.2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4.2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4.2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4.2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4.2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4.2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4.2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4.2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4.2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4.2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4.2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4.2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4.2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4.2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4.2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4.2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4.2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4.2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4.2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4.2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4.2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4.2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4.2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4.2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4.2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4.2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4.2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4.2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4.2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4.2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4.2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4.2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4.2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4.2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4.2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4.2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4.2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4.2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4.2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4.2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4.2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4.2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4.2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4.2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4.2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4.2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4.2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4.2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4.2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4.2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4.2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4.2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4.2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4.2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4.2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4.2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4.2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4.2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4.2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4.2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4.2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4.2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4.2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4.2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4.2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4.2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4.2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4.2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4.2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4.2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4.2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4.2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4.2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4.2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4.2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4.2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4.2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4.2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4.2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4.2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4.2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4.2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4.2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4.2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4.2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4.2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4.2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4.2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4.2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4.2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4.2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4.2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4.2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4.2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4.2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4.2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4.2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4.2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4.2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4.2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4.2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4.2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4.2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4.2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4.2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4.2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4.2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4.2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4.2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4.2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4.2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4.2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4.2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4.2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4.2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4.2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4.2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4.2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4.2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4.2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4.2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4.2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4.2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4.2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4.2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4.2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4.2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4.2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4.2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4.2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4.2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4.2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4.2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4.2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4.2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4.2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4.2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4.2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4.2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4.2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4.2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4.2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4.2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4.2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4.2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4.2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4.2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4.2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4.2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4.2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4.2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4.2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4.2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4.2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4.2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4.2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4.2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4.2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4.2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4.2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4.2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4.2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4.2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4.2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4.2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4.2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4.2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4.2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4.2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4.2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4.2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4.2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4.2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4.2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4.2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4.2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4.2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4.2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4.2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4.2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4.2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4.2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4.2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4.2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4.2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4.2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4.2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4.2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4.2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4.2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4.2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4.2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4.2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4.2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4.2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4.2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4.2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4.2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4.2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4.2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4.2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4.2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4.2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4.2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4.2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4.2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4.2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4.2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4.2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4.2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4.2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4.2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4.2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4.2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4.2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4.2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4.2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4.2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4.2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4.2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4.2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4.2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4.2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4.2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4.2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4.2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4.2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4.2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4.2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4.2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4.2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4.2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4.2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4.2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4.2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4.2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4.2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4.2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4.2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4.2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4.2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4.2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4.2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4.2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4.2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4.2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4.2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4.2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4.2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4.2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4.2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4.2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4.2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4.2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4.2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4.2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4.2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4.2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4.2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4.2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4.2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4.2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4.2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4.2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4.2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4.2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4.2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4.2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4.2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4.2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4.2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4.2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4.2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4.2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4.2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4.2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4.2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4.2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4.2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4.2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A18:F20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9.29"/>
    <col customWidth="1" min="2" max="2" width="28.29"/>
    <col customWidth="1" min="3" max="3" width="91.0"/>
    <col customWidth="1" min="4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0.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37.5" customHeight="1">
      <c r="A3" s="1" t="s">
        <v>2</v>
      </c>
      <c r="B3" s="5">
        <v>500000.0</v>
      </c>
      <c r="C3" s="1" t="s">
        <v>8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37.5" customHeight="1">
      <c r="A4" s="7" t="s">
        <v>11</v>
      </c>
      <c r="B4" s="9">
        <v>0.05</v>
      </c>
      <c r="C4" s="7" t="s">
        <v>8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37.5" customHeight="1">
      <c r="A5" s="7" t="s">
        <v>13</v>
      </c>
      <c r="B5" s="11">
        <v>12.0</v>
      </c>
      <c r="C5" s="7" t="s">
        <v>8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37.5" customHeight="1">
      <c r="A6" s="7" t="s">
        <v>14</v>
      </c>
      <c r="B6" s="12"/>
      <c r="C6" s="7" t="s">
        <v>15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37.5" customHeight="1">
      <c r="A7" s="7" t="s">
        <v>17</v>
      </c>
      <c r="B7" s="11">
        <v>0.3</v>
      </c>
      <c r="C7" s="7" t="s">
        <v>18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37.5" customHeight="1">
      <c r="A8" s="7" t="s">
        <v>20</v>
      </c>
      <c r="B8" s="11">
        <v>0.1</v>
      </c>
      <c r="C8" s="7" t="s">
        <v>21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37.5" customHeight="1">
      <c r="A9" s="7" t="s">
        <v>22</v>
      </c>
      <c r="B9" s="9"/>
      <c r="C9" s="7" t="s">
        <v>23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37.5" customHeight="1">
      <c r="A10" s="7" t="s">
        <v>25</v>
      </c>
      <c r="B10" s="9">
        <v>100000.0</v>
      </c>
      <c r="C10" s="7" t="s">
        <v>26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37.5" customHeight="1">
      <c r="A11" s="2"/>
      <c r="B11" s="17">
        <v>120000.0</v>
      </c>
      <c r="C11" s="7" t="s">
        <v>28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37.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37.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37.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37.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37.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37.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37.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37.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37.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37.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37.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37.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37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37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37.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37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37.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37.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37.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37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37.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37.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37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37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37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37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37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37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37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37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37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37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37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37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37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37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37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37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37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37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37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37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37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37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37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37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37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37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37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37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37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37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37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37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37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37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37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37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37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37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37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37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37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37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37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37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37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37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37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37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37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37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37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37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37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37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37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37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37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37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37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37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37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37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37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37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37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37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37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37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37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37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37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37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37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37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37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37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37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37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37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37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37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37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37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37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37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37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37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37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37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37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37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37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37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37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37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37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37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37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37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37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37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37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37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37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37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37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37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37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37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37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37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37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37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37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37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37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37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37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37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37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37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37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37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37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37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37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37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37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37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37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37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37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37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37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37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37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37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37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37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37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37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37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37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37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37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37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37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37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37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37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37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37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37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37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37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37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37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37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37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37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37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37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37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37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37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37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37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37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37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37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37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37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37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37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37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37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37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37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37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37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37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37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37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37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37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37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37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37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37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37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37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37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37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37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37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37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37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37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37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37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37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37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37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37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37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37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37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37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37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37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37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37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37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37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37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37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37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37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37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37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37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37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37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37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37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37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37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37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37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37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37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37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37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37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37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37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37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37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37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37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37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37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37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37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37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37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37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37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37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37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37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37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37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37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37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37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37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37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37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37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37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37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37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37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37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37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37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37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37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37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37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37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37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37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37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37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37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37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37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37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37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37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37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37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37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37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37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37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37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37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37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37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37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37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37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37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37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37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37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37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37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37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37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37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37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37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37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37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37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37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37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37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37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37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37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37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37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37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37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37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37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37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37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37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37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37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37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37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37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37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37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37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37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37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37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37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37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37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37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37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37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37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37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37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37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37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37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37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37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37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37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37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37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37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37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37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37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37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37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37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37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37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37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37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37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37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37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37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37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37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37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37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37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37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37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37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37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37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37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37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37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37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37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37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37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37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37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37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37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37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37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37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37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37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37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37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37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37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37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37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37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37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37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37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37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37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37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37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37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37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37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37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37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37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37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37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37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37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37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37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37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37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37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37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37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37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37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37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37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37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37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37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37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37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37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37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37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37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37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37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37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37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37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37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37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37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37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37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37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37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37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37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37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37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37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37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37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37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37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37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37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37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37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37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37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37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37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37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37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37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37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37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37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37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37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37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37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37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37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37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37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37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37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37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37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37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37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37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37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37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37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37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37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37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37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37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37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37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37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37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37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37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37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37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37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37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37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37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37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37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37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37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37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37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37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37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37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37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37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37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37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37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37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37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37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37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37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37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37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37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37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37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37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37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37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37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37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37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37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37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37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37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37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37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37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37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37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37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37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37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37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37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37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37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37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37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37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37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37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37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37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37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37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37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37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37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37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37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37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37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37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37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37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37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37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37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37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37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37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37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37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37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37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37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37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37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37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37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37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37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37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37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37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37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37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37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37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37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37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37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37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37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37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37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37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37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37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37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37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37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37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37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37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37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37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37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37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37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37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37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37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37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37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37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37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37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37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37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37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37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37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37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37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37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37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37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37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37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37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37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37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37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37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37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37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37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37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37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37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37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37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37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37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37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37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37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37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37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37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37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37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37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37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37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37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37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37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37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37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37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37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37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37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37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37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37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37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37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37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37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37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37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37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37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37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37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37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37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37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37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37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37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37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37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37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37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37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37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37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37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37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37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37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37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37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37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37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37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37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37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37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37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37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37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37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37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37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37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37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37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37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37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37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37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37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37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37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37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37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37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37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37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37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37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37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37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37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37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37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37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37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37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37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37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37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37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37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37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37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37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37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37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37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37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37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37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37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37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37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37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37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37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37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37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37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37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37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37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37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37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37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37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37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37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37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37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37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37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37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37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37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37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37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37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37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37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37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37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37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37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37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37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37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37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37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37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37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37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37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37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37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37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37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37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37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37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37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37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37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37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37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37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37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37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37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37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37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37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37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37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37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37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37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37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37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37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37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37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37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37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37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37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37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37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37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37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37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37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37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37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37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37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37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37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37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37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37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37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37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37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37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37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37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37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37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37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37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37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37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37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37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37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37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37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37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37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37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37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37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37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37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37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37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37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37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37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37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37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37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37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37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37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37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37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37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37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37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37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37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37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37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37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37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37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37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37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37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37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37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37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37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37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37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37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37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37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37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37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37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37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37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37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37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37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37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37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37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37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37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37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37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37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37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37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37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37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37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37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37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37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37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37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37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37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37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37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37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37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37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37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37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37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37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37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37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37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37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37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37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37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37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37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37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37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37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37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37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37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37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37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37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37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37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37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37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37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37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2026-09-02T17:20:15Z</dcterms:created>
  <dc:creator>openpyxl</dc:creator>
</cp:coreProperties>
</file>